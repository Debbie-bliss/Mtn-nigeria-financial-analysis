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defaultThemeVersion="164011"/>
  <mc:AlternateContent xmlns:mc="http://schemas.openxmlformats.org/markup-compatibility/2006">
    <mc:Choice Requires="x15">
      <x15ac:absPath xmlns:x15ac="http://schemas.microsoft.com/office/spreadsheetml/2010/11/ac" url="C:\Users\HP\OneDrive\Desktop\MTN_Nigeria_Financial_Analysis\Excel_analysis\"/>
    </mc:Choice>
  </mc:AlternateContent>
  <bookViews>
    <workbookView xWindow="0" yWindow="0" windowWidth="17256" windowHeight="5532"/>
  </bookViews>
  <sheets>
    <sheet name="Financial_Data" sheetId="9" r:id="rId1"/>
    <sheet name="Detailed_income" sheetId="10" r:id="rId2"/>
    <sheet name=" Financial_Charts" sheetId="2" r:id="rId3"/>
    <sheet name="Financial_insights" sheetId="11" r:id="rId4"/>
    <sheet name="Dashboard " sheetId="8" r:id="rId5"/>
  </sheets>
  <externalReferences>
    <externalReference r:id="rId6"/>
  </externalReferences>
  <calcPr calcId="162913"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3" i="11" l="1"/>
  <c r="E14" i="11"/>
  <c r="E15" i="11"/>
  <c r="B16" i="11"/>
  <c r="C16" i="11"/>
  <c r="D16" i="11"/>
  <c r="E16" i="11"/>
  <c r="B17" i="11"/>
  <c r="C17" i="11"/>
  <c r="D17" i="11"/>
  <c r="E17" i="11"/>
  <c r="E18" i="11"/>
  <c r="C36" i="10" l="1"/>
  <c r="C35" i="10"/>
  <c r="E2" i="9" l="1"/>
  <c r="C55" i="10"/>
  <c r="C54" i="10"/>
  <c r="C53" i="10"/>
  <c r="C52" i="10"/>
  <c r="C34" i="10"/>
  <c r="C33" i="10"/>
  <c r="C17" i="10"/>
  <c r="C16" i="10"/>
  <c r="C15" i="10"/>
  <c r="C14" i="10"/>
  <c r="C10" i="10"/>
  <c r="C11" i="10" s="1"/>
  <c r="C12" i="10" s="1"/>
  <c r="C13" i="10" s="1"/>
  <c r="C18" i="10"/>
  <c r="C29" i="10"/>
  <c r="C30" i="10"/>
  <c r="C31" i="10"/>
  <c r="C32" i="10" s="1"/>
  <c r="C37" i="10"/>
  <c r="C48" i="10"/>
  <c r="C49" i="10"/>
  <c r="C50" i="10" s="1"/>
  <c r="C51" i="10" s="1"/>
  <c r="C56" i="10"/>
  <c r="G2" i="9"/>
  <c r="D3" i="9"/>
  <c r="E3" i="9"/>
  <c r="F3" i="9"/>
  <c r="G3" i="9"/>
  <c r="D4" i="9"/>
  <c r="E4" i="9"/>
  <c r="F4" i="9"/>
  <c r="G4" i="9"/>
  <c r="A4" i="8" l="1"/>
  <c r="C4" i="8"/>
  <c r="E4" i="8"/>
  <c r="G4" i="8"/>
</calcChain>
</file>

<file path=xl/sharedStrings.xml><?xml version="1.0" encoding="utf-8"?>
<sst xmlns="http://schemas.openxmlformats.org/spreadsheetml/2006/main" count="114" uniqueCount="94">
  <si>
    <t>Year</t>
  </si>
  <si>
    <t>Operating Profit</t>
  </si>
  <si>
    <t>Combined Finance Costs and FX Loss</t>
  </si>
  <si>
    <t>Operating Profit Less Finance Costs and FX Loss</t>
  </si>
  <si>
    <t>Calculated Loss Before Tax</t>
  </si>
  <si>
    <t>Calculated Loss for the Year</t>
  </si>
  <si>
    <t>Operating Profit Margin</t>
  </si>
  <si>
    <t>Finance Costs as % of Revenue</t>
  </si>
  <si>
    <t>Foreign Exchange Loss as % of Revenue</t>
  </si>
  <si>
    <t>Net Profit Margin</t>
  </si>
  <si>
    <t>Tax Benefit as % of Loss Before Tax</t>
  </si>
  <si>
    <t>Calculated Profit Before Tax</t>
  </si>
  <si>
    <t>Calculated Profit for the Year</t>
  </si>
  <si>
    <t>MTN Nigeria Financial Performance Analysis</t>
  </si>
  <si>
    <t>Analysis Area</t>
  </si>
  <si>
    <t>Finding</t>
  </si>
  <si>
    <t>Business Interpretation</t>
  </si>
  <si>
    <t>Revenue Growth</t>
  </si>
  <si>
    <t>MTN expanded its revenue substantially over the period.</t>
  </si>
  <si>
    <t>Profitability</t>
  </si>
  <si>
    <t>Revenue growth did not translate into sustained profitability.</t>
  </si>
  <si>
    <t>Foreign Exchange Risk</t>
  </si>
  <si>
    <t>Reported FX losses were substantial in 2023 and 2024.</t>
  </si>
  <si>
    <t>Currency movements may have contributed to financial pressure.</t>
  </si>
  <si>
    <t>Operating Performance</t>
  </si>
  <si>
    <t>The reported losses warrant closer examination of finance costs, FX losses and other below-operating-profit items.</t>
  </si>
  <si>
    <t>Financial Metric</t>
  </si>
  <si>
    <t>Revenue (₦ million)</t>
  </si>
  <si>
    <t>Profit/(Loss) for the Year</t>
  </si>
  <si>
    <t>Analyst Interpretation</t>
  </si>
  <si>
    <t>MTN Nigeria's revenue increased by approximately 66.90% between 2022 and 2024. This indicates significant growth in revenue over the period. However, revenue growth alone does not guarantee improved profitability.</t>
  </si>
  <si>
    <t>The company moved from a profit of ₦358.877 billion in 2022 to a loss of ₦400.435 billion in 2024. This represents a deterioration of ₦759.312 billion in annual earnings.</t>
  </si>
  <si>
    <t>Operating profit increased by ₦44.946 billion between 2022 and 2024, but operating profit margin declined from 36.44% to 23.17%. This suggests that revenue grew faster than operating profit, putting pressure on operating profitability.</t>
  </si>
  <si>
    <t>MTN Nigeria Financial Performance Dashboard</t>
  </si>
  <si>
    <t>Source: MTN Nigeria financial statements. Amounts in ₦ million.</t>
  </si>
  <si>
    <t>2024 Net Profit Margin</t>
  </si>
  <si>
    <t>2024 Profit/(Loss) (₦ million)</t>
  </si>
  <si>
    <t>2024 Revenue (₦ million)</t>
  </si>
  <si>
    <t>Revenue Growth (2022–2024)</t>
  </si>
  <si>
    <t>Blue = entered figures (operating profit as reported in the audited 2022 statements and the 2023 and 2024 data). Black = formulas.</t>
  </si>
  <si>
    <t>Amounts in ₦ million. Margins and growth are calculated from the figures above.</t>
  </si>
  <si>
    <t>n/a</t>
  </si>
  <si>
    <t>Operating Profit (₦ million)</t>
  </si>
  <si>
    <t>Operating Profit Margin (%)</t>
  </si>
  <si>
    <t>Change in Profit (₦ million)</t>
  </si>
  <si>
    <t>Net Profit Margin (%)</t>
  </si>
  <si>
    <t>Revenue Growth (%)</t>
  </si>
  <si>
    <t>Profit After Tax (₦ million)</t>
  </si>
  <si>
    <t>Blue = reported figures entered; black = formulas. The Check column compares calculated results with reported results (OK = match).</t>
  </si>
  <si>
    <t>Amounts in ₦ million. Costs and losses are shown as negatives. In 2022, the FX loss is already included in finance costs; in 2023 and 2024 it is a separate line.</t>
  </si>
  <si>
    <t>Tax as % of Profit Before Tax</t>
  </si>
  <si>
    <t>2022 Profit for the Year</t>
  </si>
  <si>
    <t>2022 Taxation</t>
  </si>
  <si>
    <t>2022 Profit Before Tax</t>
  </si>
  <si>
    <t>2022 Net Foreign Exchange Loss</t>
  </si>
  <si>
    <t>2022 Finance Costs</t>
  </si>
  <si>
    <t>2022 Finance Income</t>
  </si>
  <si>
    <t>2022 Operating Profit</t>
  </si>
  <si>
    <t>2023 Loss for the Year</t>
  </si>
  <si>
    <t>2023 Taxation</t>
  </si>
  <si>
    <t>2023 Loss Before Tax</t>
  </si>
  <si>
    <t>2023 Net Foreign Exchange Loss</t>
  </si>
  <si>
    <t>2023 Finance Costs</t>
  </si>
  <si>
    <t>2023 Finance Income</t>
  </si>
  <si>
    <t>2023 Operating Profit</t>
  </si>
  <si>
    <t>2024 Loss for the Year</t>
  </si>
  <si>
    <t>2024 Taxation</t>
  </si>
  <si>
    <t>2024 Loss Before Tax</t>
  </si>
  <si>
    <t>2024 Net Foreign Exchange Loss</t>
  </si>
  <si>
    <t>2024 Finance Costs</t>
  </si>
  <si>
    <t>2024 Finance Income</t>
  </si>
  <si>
    <t>2024 Operating Profit</t>
  </si>
  <si>
    <t>Amount (₦ million)</t>
  </si>
  <si>
    <t>Financial Item</t>
  </si>
  <si>
    <t>Financial figures are based on MTN Nigeria Communications Plc's audited financial statements for 2022, 2023 and 2024. Figures are expressed in ₦ millions. Foreign exchange losses were included within finance costs in the earlier statement presentation and subsequently disclosed separately. Ratios and year-on-year comparisons must account for this presentation difference to avoid double-counting. Margins, growth rates and changes are calculated by the author.</t>
  </si>
  <si>
    <t>Data Quality and Methodology Note</t>
  </si>
  <si>
    <t>MTN Nigeria achieved strong revenue growth between 2022 and 2024, but this did not translate into sustained net profitability. The declining margins and reported losses highlight the importance of examining finance costs, foreign exchange exposure, taxation and other factors.</t>
  </si>
  <si>
    <t>Overall Conclusion</t>
  </si>
  <si>
    <t>*2022 foreign exchange loss is included within finance costs, whereas 2023 and 2024 show it separately, so the 2022–2024 change is not like-for-like.</t>
  </si>
  <si>
    <t>Change column: revenue = % growth; amounts = ₦ million; margins = percentage points (pp). A negative change means a deterioration.</t>
  </si>
  <si>
    <t>The recorded foreign exchange loss increased substantially between 2022 and 2024. Currency-related losses may have contributed to the deterioration in reported earnings. The 2022 figure requires careful comparison because foreign exchange loss was included within finance costs.</t>
  </si>
  <si>
    <t>Foreign Exchange Loss*</t>
  </si>
  <si>
    <t>Net margin fell by 29.75 percentage points, from 17.83% in 2022 to -11.92% in 2024, moving from a profit to a loss.</t>
  </si>
  <si>
    <t>Operating margin fell by 13.27 percentage points between 2022 and 2024, as revenue grew faster than operating profit.</t>
  </si>
  <si>
    <t>Change 2022–2024</t>
  </si>
  <si>
    <t>2024</t>
  </si>
  <si>
    <t>2023</t>
  </si>
  <si>
    <t>2022</t>
  </si>
  <si>
    <t>Financial Metrics</t>
  </si>
  <si>
    <t>Operating profit remained positive in all three years based on the reported figures.</t>
  </si>
  <si>
    <t>MTN moved from a profit of ₦358,877m in 2022 to losses of ₦137,021m in 2023 and ₦400,435m in 2024.</t>
  </si>
  <si>
    <t>Revenue increased from ₦2,012,272m in 2022 to ₦3,358,461m in 2024, an increase of 66.90%.</t>
  </si>
  <si>
    <t>Key Findings</t>
  </si>
  <si>
    <t>Group results, 2022–2024  |  Amounts in ₦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</si>
</sst>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Red]\-0.00%"/>
    <numFmt numFmtId="165" formatCode="#,##0;[Red]\-#,##0"/>
    <numFmt numFmtId="166" formatCode="0.00&quot; pp&quot;;[Red]\-0.00&quot; pp&quot;"/>
  </numFmts>
  <fonts count="15" x14ac:knownFonts="1">
    <font>
      <sz val="11"/>
      <color theme="1"/>
      <name val="Calibri"/>
      <family val="2"/>
      <scheme val="minor"/>
    </font>
    <font>
      <sz val="11"/>
      <color theme="1"/>
      <name val="Calibri"/>
      <family val="2"/>
      <scheme val="minor"/>
    </font>
    <font>
      <sz val="11"/>
      <color theme="1"/>
      <name val="Calibri"/>
      <family val="2"/>
      <charset val="1"/>
    </font>
    <font>
      <i/>
      <sz val="9"/>
      <color rgb="FF808080"/>
      <name val="Arial"/>
      <charset val="1"/>
    </font>
    <font>
      <b/>
      <sz val="14"/>
      <name val="Arial"/>
      <charset val="1"/>
    </font>
    <font>
      <b/>
      <sz val="10"/>
      <name val="Arial"/>
      <charset val="1"/>
    </font>
    <font>
      <b/>
      <sz val="16"/>
      <color rgb="FFFFFFFF"/>
      <name val="Arial"/>
      <charset val="1"/>
    </font>
    <font>
      <i/>
      <sz val="9"/>
      <color rgb="FF808080"/>
      <name val="Calibri"/>
      <charset val="1"/>
    </font>
    <font>
      <sz val="11"/>
      <color rgb="FF0000FF"/>
      <name val="Calibri"/>
      <charset val="1"/>
    </font>
    <font>
      <sz val="11"/>
      <name val="Calibri"/>
      <charset val="1"/>
    </font>
    <font>
      <b/>
      <sz val="11"/>
      <color rgb="FFFFFFFF"/>
      <name val="Calibri"/>
      <charset val="1"/>
    </font>
    <font>
      <b/>
      <sz val="11"/>
      <name val="Calibri"/>
      <charset val="1"/>
    </font>
    <font>
      <b/>
      <sz val="13"/>
      <color rgb="FF1F3864"/>
      <name val="Calibri"/>
      <charset val="1"/>
    </font>
    <font>
      <i/>
      <sz val="9"/>
      <color rgb="FF595959"/>
      <name val="Calibri"/>
      <charset val="1"/>
    </font>
    <font>
      <b/>
      <sz val="16"/>
      <color rgb="FFFFFFFF"/>
      <name val="Calibri"/>
      <charset val="1"/>
    </font>
  </fonts>
  <fills count="5">
    <fill>
      <patternFill patternType="none"/>
    </fill>
    <fill>
      <patternFill patternType="gray125"/>
    </fill>
    <fill>
      <patternFill patternType="solid">
        <fgColor rgb="FFD9E1F2"/>
        <bgColor rgb="FFD9D9D9"/>
      </patternFill>
    </fill>
    <fill>
      <patternFill patternType="solid">
        <fgColor rgb="FF1F3864"/>
        <bgColor rgb="FF333333"/>
      </patternFill>
    </fill>
    <fill>
      <patternFill patternType="solid">
        <fgColor rgb="FFF2F6FC"/>
        <bgColor rgb="FFFFFFFF"/>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
      <left/>
      <right/>
      <top/>
      <bottom style="medium">
        <color rgb="FF1F3864"/>
      </bottom>
      <diagonal/>
    </border>
  </borders>
  <cellStyleXfs count="3">
    <xf numFmtId="0" fontId="0" fillId="0" borderId="0"/>
    <xf numFmtId="9" fontId="1" fillId="0" borderId="0" applyFont="0" applyFill="0" applyBorder="0" applyAlignment="0" applyProtection="0"/>
    <xf numFmtId="0" fontId="2" fillId="0" borderId="0"/>
  </cellStyleXfs>
  <cellXfs count="56">
    <xf numFmtId="0" fontId="0" fillId="0" borderId="0" xfId="0"/>
    <xf numFmtId="10" fontId="0" fillId="0" borderId="0" xfId="1" applyNumberFormat="1" applyFont="1"/>
    <xf numFmtId="0" fontId="2" fillId="0" borderId="0" xfId="2"/>
    <xf numFmtId="0" fontId="3" fillId="0" borderId="0" xfId="2" applyFont="1"/>
    <xf numFmtId="0" fontId="7" fillId="0" borderId="0" xfId="2" applyFont="1"/>
    <xf numFmtId="165" fontId="8" fillId="0" borderId="2" xfId="2" applyNumberFormat="1" applyFont="1" applyBorder="1" applyAlignment="1">
      <alignment horizontal="right" vertical="center"/>
    </xf>
    <xf numFmtId="164" fontId="9" fillId="0" borderId="2" xfId="2" applyNumberFormat="1" applyFont="1" applyBorder="1" applyAlignment="1">
      <alignment horizontal="right" vertical="center"/>
    </xf>
    <xf numFmtId="165" fontId="9" fillId="0" borderId="2" xfId="2" applyNumberFormat="1" applyFont="1" applyBorder="1" applyAlignment="1">
      <alignment horizontal="right" vertical="center"/>
    </xf>
    <xf numFmtId="0" fontId="8" fillId="0" borderId="2" xfId="2" applyFont="1" applyBorder="1" applyAlignment="1">
      <alignment horizontal="center" vertical="center"/>
    </xf>
    <xf numFmtId="165" fontId="8" fillId="4" borderId="2" xfId="2" applyNumberFormat="1" applyFont="1" applyFill="1" applyBorder="1" applyAlignment="1">
      <alignment horizontal="right" vertical="center"/>
    </xf>
    <xf numFmtId="164" fontId="9" fillId="4" borderId="2" xfId="2" applyNumberFormat="1" applyFont="1" applyFill="1" applyBorder="1" applyAlignment="1">
      <alignment horizontal="right" vertical="center"/>
    </xf>
    <xf numFmtId="165" fontId="9" fillId="4" borderId="2" xfId="2" applyNumberFormat="1" applyFont="1" applyFill="1" applyBorder="1" applyAlignment="1">
      <alignment horizontal="right" vertical="center"/>
    </xf>
    <xf numFmtId="0" fontId="8" fillId="4" borderId="2" xfId="2" applyFont="1" applyFill="1" applyBorder="1" applyAlignment="1">
      <alignment horizontal="center" vertical="center"/>
    </xf>
    <xf numFmtId="0" fontId="10" fillId="3" borderId="2" xfId="2" applyFont="1" applyFill="1" applyBorder="1" applyAlignment="1">
      <alignment horizontal="center" vertical="center" wrapText="1"/>
    </xf>
    <xf numFmtId="164" fontId="9" fillId="4" borderId="2" xfId="2" applyNumberFormat="1" applyFont="1" applyFill="1" applyBorder="1" applyAlignment="1">
      <alignment horizontal="right"/>
    </xf>
    <xf numFmtId="0" fontId="9" fillId="4" borderId="2" xfId="2" applyFont="1" applyFill="1" applyBorder="1"/>
    <xf numFmtId="0" fontId="2" fillId="4" borderId="2" xfId="2" applyFill="1" applyBorder="1"/>
    <xf numFmtId="164" fontId="11" fillId="4" borderId="2" xfId="2" applyNumberFormat="1" applyFont="1" applyFill="1" applyBorder="1" applyAlignment="1">
      <alignment horizontal="right"/>
    </xf>
    <xf numFmtId="0" fontId="11" fillId="4" borderId="2" xfId="2" applyFont="1" applyFill="1" applyBorder="1"/>
    <xf numFmtId="165" fontId="11" fillId="4" borderId="2" xfId="2" applyNumberFormat="1" applyFont="1" applyFill="1" applyBorder="1" applyAlignment="1">
      <alignment horizontal="right"/>
    </xf>
    <xf numFmtId="165" fontId="9" fillId="4" borderId="2" xfId="2" applyNumberFormat="1" applyFont="1" applyFill="1" applyBorder="1" applyAlignment="1">
      <alignment horizontal="right"/>
    </xf>
    <xf numFmtId="0" fontId="2" fillId="0" borderId="2" xfId="2" applyBorder="1"/>
    <xf numFmtId="165" fontId="8" fillId="0" borderId="2" xfId="2" applyNumberFormat="1" applyFont="1" applyBorder="1" applyAlignment="1">
      <alignment horizontal="right"/>
    </xf>
    <xf numFmtId="0" fontId="9" fillId="0" borderId="2" xfId="2" applyFont="1" applyBorder="1"/>
    <xf numFmtId="0" fontId="8" fillId="0" borderId="2" xfId="2" applyFont="1" applyBorder="1" applyAlignment="1">
      <alignment horizontal="center"/>
    </xf>
    <xf numFmtId="0" fontId="10" fillId="3" borderId="2" xfId="2" applyFont="1" applyFill="1" applyBorder="1" applyAlignment="1">
      <alignment horizontal="center" vertical="center"/>
    </xf>
    <xf numFmtId="0" fontId="9" fillId="4" borderId="2" xfId="2" applyFont="1" applyFill="1" applyBorder="1" applyAlignment="1">
      <alignment horizontal="left" vertical="center" wrapText="1" indent="1"/>
    </xf>
    <xf numFmtId="165" fontId="11" fillId="4" borderId="2" xfId="2" applyNumberFormat="1" applyFont="1" applyFill="1" applyBorder="1" applyAlignment="1">
      <alignment horizontal="right" vertical="center" wrapText="1" indent="1"/>
    </xf>
    <xf numFmtId="165" fontId="8" fillId="4" borderId="2" xfId="2" applyNumberFormat="1" applyFont="1" applyFill="1" applyBorder="1" applyAlignment="1">
      <alignment horizontal="right" vertical="center" wrapText="1"/>
    </xf>
    <xf numFmtId="0" fontId="11" fillId="4" borderId="2" xfId="2" applyFont="1" applyFill="1" applyBorder="1" applyAlignment="1">
      <alignment horizontal="left" vertical="center" wrapText="1"/>
    </xf>
    <xf numFmtId="0" fontId="9" fillId="0" borderId="2" xfId="2" applyFont="1" applyBorder="1" applyAlignment="1">
      <alignment horizontal="left" vertical="center" wrapText="1" indent="1"/>
    </xf>
    <xf numFmtId="166" fontId="11" fillId="0" borderId="2" xfId="2" applyNumberFormat="1" applyFont="1" applyBorder="1" applyAlignment="1">
      <alignment horizontal="right" vertical="center" wrapText="1" indent="1"/>
    </xf>
    <xf numFmtId="164" fontId="9" fillId="0" borderId="2" xfId="2" applyNumberFormat="1" applyFont="1" applyBorder="1" applyAlignment="1">
      <alignment horizontal="right" vertical="center" wrapText="1"/>
    </xf>
    <xf numFmtId="0" fontId="11" fillId="0" borderId="2" xfId="2" applyFont="1" applyBorder="1" applyAlignment="1">
      <alignment horizontal="left" vertical="center" wrapText="1"/>
    </xf>
    <xf numFmtId="166" fontId="11" fillId="4" borderId="2" xfId="2" applyNumberFormat="1" applyFont="1" applyFill="1" applyBorder="1" applyAlignment="1">
      <alignment horizontal="right" vertical="center" wrapText="1" indent="1"/>
    </xf>
    <xf numFmtId="164" fontId="9" fillId="4" borderId="2" xfId="2" applyNumberFormat="1" applyFont="1" applyFill="1" applyBorder="1" applyAlignment="1">
      <alignment horizontal="right" vertical="center" wrapText="1"/>
    </xf>
    <xf numFmtId="165" fontId="11" fillId="0" borderId="2" xfId="2" applyNumberFormat="1" applyFont="1" applyBorder="1" applyAlignment="1">
      <alignment horizontal="right" vertical="center" wrapText="1" indent="1"/>
    </xf>
    <xf numFmtId="165" fontId="8" fillId="0" borderId="2" xfId="2" applyNumberFormat="1" applyFont="1" applyBorder="1" applyAlignment="1">
      <alignment horizontal="right" vertical="center" wrapText="1"/>
    </xf>
    <xf numFmtId="164" fontId="11" fillId="0" borderId="2" xfId="2" applyNumberFormat="1" applyFont="1" applyBorder="1" applyAlignment="1">
      <alignment horizontal="right" vertical="center" wrapText="1" indent="1"/>
    </xf>
    <xf numFmtId="0" fontId="9" fillId="4" borderId="2" xfId="2" applyFont="1" applyFill="1" applyBorder="1" applyAlignment="1">
      <alignment vertical="center" wrapText="1"/>
    </xf>
    <xf numFmtId="0" fontId="11" fillId="4" borderId="2" xfId="2" applyFont="1" applyFill="1" applyBorder="1" applyAlignment="1">
      <alignment vertical="center" wrapText="1"/>
    </xf>
    <xf numFmtId="0" fontId="9" fillId="0" borderId="2" xfId="2" applyFont="1" applyBorder="1" applyAlignment="1">
      <alignment vertical="center" wrapText="1"/>
    </xf>
    <xf numFmtId="0" fontId="11" fillId="0" borderId="2" xfId="2" applyFont="1" applyBorder="1" applyAlignment="1">
      <alignment vertical="center" wrapText="1"/>
    </xf>
    <xf numFmtId="0" fontId="9" fillId="4" borderId="2" xfId="2" applyFont="1" applyFill="1" applyBorder="1" applyAlignment="1">
      <alignment vertical="center" wrapText="1"/>
    </xf>
    <xf numFmtId="0" fontId="9" fillId="0" borderId="2" xfId="2" applyFont="1" applyBorder="1" applyAlignment="1">
      <alignment vertical="center" wrapText="1"/>
    </xf>
    <xf numFmtId="0" fontId="12" fillId="0" borderId="3" xfId="2" applyFont="1" applyBorder="1"/>
    <xf numFmtId="0" fontId="13" fillId="0" borderId="0" xfId="2" applyFont="1" applyBorder="1"/>
    <xf numFmtId="0" fontId="9" fillId="0" borderId="0" xfId="2" applyFont="1" applyBorder="1" applyAlignment="1">
      <alignment vertical="top" wrapText="1"/>
    </xf>
    <xf numFmtId="0" fontId="14" fillId="3" borderId="0" xfId="2" applyFont="1" applyFill="1" applyBorder="1" applyAlignment="1">
      <alignment horizontal="center" vertical="center"/>
    </xf>
    <xf numFmtId="0" fontId="13" fillId="0" borderId="0" xfId="2" applyFont="1" applyBorder="1" applyAlignment="1">
      <alignment horizontal="center"/>
    </xf>
    <xf numFmtId="0" fontId="10" fillId="3" borderId="2" xfId="2" applyFont="1" applyFill="1" applyBorder="1" applyAlignment="1">
      <alignment horizontal="center" vertical="center"/>
    </xf>
    <xf numFmtId="164" fontId="4" fillId="0" borderId="1" xfId="2" applyNumberFormat="1" applyFont="1" applyBorder="1" applyAlignment="1">
      <alignment horizontal="center" vertical="center" wrapText="1"/>
    </xf>
    <xf numFmtId="3" fontId="4" fillId="0" borderId="1" xfId="2" applyNumberFormat="1" applyFont="1" applyBorder="1" applyAlignment="1">
      <alignment horizontal="center" vertical="center" wrapText="1"/>
    </xf>
    <xf numFmtId="165" fontId="4" fillId="0" borderId="1" xfId="2" applyNumberFormat="1" applyFont="1" applyBorder="1" applyAlignment="1">
      <alignment horizontal="center" vertical="center" wrapText="1"/>
    </xf>
    <xf numFmtId="0" fontId="6" fillId="3" borderId="0" xfId="2" applyFont="1" applyFill="1" applyBorder="1" applyAlignment="1">
      <alignment horizontal="center" vertical="center"/>
    </xf>
    <xf numFmtId="0" fontId="5" fillId="2" borderId="1" xfId="2" applyFont="1" applyFill="1" applyBorder="1" applyAlignment="1">
      <alignment horizontal="center" vertical="center" wrapText="1"/>
    </xf>
  </cellXfs>
  <cellStyles count="3">
    <cellStyle name="Normal" xfId="0" builtinId="0"/>
    <cellStyle name="Normal 2"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MTN Nigeria Revenue Trend (2022–2024)</a:t>
            </a:r>
          </a:p>
        </c:rich>
      </c:tx>
      <c:overlay val="0"/>
      <c:spPr>
        <a:noFill/>
        <a:ln w="0">
          <a:noFill/>
        </a:ln>
      </c:spPr>
    </c:title>
    <c:autoTitleDeleted val="0"/>
    <c:plotArea>
      <c:layout/>
      <c:lineChart>
        <c:grouping val="standard"/>
        <c:varyColors val="0"/>
        <c:ser>
          <c:idx val="0"/>
          <c:order val="0"/>
          <c:tx>
            <c:v>Revenue</c:v>
          </c:tx>
          <c:spPr>
            <a:ln w="38160">
              <a:solidFill>
                <a:srgbClr val="1F3864"/>
              </a:solidFill>
              <a:round/>
            </a:ln>
          </c:spPr>
          <c:marker>
            <c:symbol val="square"/>
            <c:size val="8"/>
            <c:spPr>
              <a:solidFill>
                <a:srgbClr val="1F3864"/>
              </a:solidFill>
            </c:spPr>
          </c:marker>
          <c:dLbls>
            <c:numFmt formatCode="#,##0" sourceLinked="0"/>
            <c:spPr>
              <a:noFill/>
              <a:ln>
                <a:noFill/>
              </a:ln>
              <a:effectLst/>
            </c:spPr>
            <c:txPr>
              <a:bodyPr wrap="square"/>
              <a:lstStyle/>
              <a:p>
                <a:pPr>
                  <a:defRPr sz="1000" b="0" strike="noStrike" spc="-1">
                    <a:solidFill>
                      <a:srgbClr val="000000"/>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[1]Financial_Data!$B$2:$B$4</c:f>
              <c:numCache>
                <c:formatCode>General</c:formatCode>
                <c:ptCount val="3"/>
                <c:pt idx="0">
                  <c:v>2012272</c:v>
                </c:pt>
                <c:pt idx="1">
                  <c:v>2468847</c:v>
                </c:pt>
                <c:pt idx="2">
                  <c:v>3358461</c:v>
                </c:pt>
              </c:numCache>
            </c:numRef>
          </c:val>
          <c:smooth val="0"/>
          <c:extLst>
            <c:ext xmlns:c16="http://schemas.microsoft.com/office/drawing/2014/chart" uri="{C3380CC4-5D6E-409C-BE32-E72D297353CC}">
              <c16:uniqueId val="{00000000-C9BF-45DC-81B8-EE57DB954C31}"/>
            </c:ext>
          </c:extLst>
        </c:ser>
        <c:dLbls>
          <c:showLegendKey val="0"/>
          <c:showVal val="0"/>
          <c:showCatName val="0"/>
          <c:showSerName val="0"/>
          <c:showPercent val="0"/>
          <c:showBubbleSize val="0"/>
        </c:dLbls>
        <c:hiLowLines>
          <c:spPr>
            <a:ln w="0">
              <a:noFill/>
            </a:ln>
          </c:spPr>
        </c:hiLowLines>
        <c:marker val="1"/>
        <c:smooth val="0"/>
        <c:axId val="6972094"/>
        <c:axId val="23756897"/>
      </c:lineChart>
      <c:catAx>
        <c:axId val="697209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756897"/>
        <c:crosses val="autoZero"/>
        <c:auto val="1"/>
        <c:lblAlgn val="ctr"/>
        <c:lblOffset val="100"/>
        <c:noMultiLvlLbl val="0"/>
      </c:catAx>
      <c:valAx>
        <c:axId val="23756897"/>
        <c:scaling>
          <c:orientation val="minMax"/>
        </c:scaling>
        <c:delete val="0"/>
        <c:axPos val="l"/>
        <c:majorGridlines>
          <c:spPr>
            <a:ln w="648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 (₦ million)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72094"/>
        <c:crosses val="autoZero"/>
        <c:crossBetween val="between"/>
      </c:valAx>
      <c:spPr>
        <a:noFill/>
        <a:ln w="0">
          <a:noFill/>
        </a:ln>
      </c:spPr>
    </c:plotArea>
    <c:plotVisOnly val="1"/>
    <c:dispBlanksAs val="gap"/>
    <c:showDLblsOverMax val="1"/>
  </c:chart>
  <c:spPr>
    <a:solidFill>
      <a:srgbClr val="FFFFFF"/>
    </a:solidFill>
    <a:ln w="9360">
      <a:solidFill>
        <a:srgbClr val="BFBFBF"/>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MTN Nigeria Profit/(Loss) Trend (2022–2024)</a:t>
            </a:r>
          </a:p>
        </c:rich>
      </c:tx>
      <c:overlay val="0"/>
      <c:spPr>
        <a:noFill/>
        <a:ln w="0">
          <a:noFill/>
        </a:ln>
      </c:spPr>
    </c:title>
    <c:autoTitleDeleted val="0"/>
    <c:plotArea>
      <c:layout/>
      <c:barChart>
        <c:barDir val="col"/>
        <c:grouping val="clustered"/>
        <c:varyColors val="0"/>
        <c:ser>
          <c:idx val="0"/>
          <c:order val="0"/>
          <c:tx>
            <c:v>Profit/(Loss)</c:v>
          </c:tx>
          <c:spPr>
            <a:solidFill>
              <a:srgbClr val="4F81BD"/>
            </a:solidFill>
            <a:ln w="0">
              <a:noFill/>
            </a:ln>
          </c:spPr>
          <c:invertIfNegative val="0"/>
          <c:dPt>
            <c:idx val="0"/>
            <c:invertIfNegative val="0"/>
            <c:bubble3D val="0"/>
            <c:spPr>
              <a:solidFill>
                <a:srgbClr val="00B050"/>
              </a:solidFill>
              <a:ln w="0">
                <a:noFill/>
              </a:ln>
            </c:spPr>
            <c:extLst>
              <c:ext xmlns:c16="http://schemas.microsoft.com/office/drawing/2014/chart" uri="{C3380CC4-5D6E-409C-BE32-E72D297353CC}">
                <c16:uniqueId val="{00000001-9B0C-4598-A1E5-3CA0C294EEE2}"/>
              </c:ext>
            </c:extLst>
          </c:dPt>
          <c:dPt>
            <c:idx val="1"/>
            <c:invertIfNegative val="0"/>
            <c:bubble3D val="0"/>
            <c:spPr>
              <a:solidFill>
                <a:srgbClr val="FF0000"/>
              </a:solidFill>
              <a:ln w="0">
                <a:noFill/>
              </a:ln>
            </c:spPr>
            <c:extLst>
              <c:ext xmlns:c16="http://schemas.microsoft.com/office/drawing/2014/chart" uri="{C3380CC4-5D6E-409C-BE32-E72D297353CC}">
                <c16:uniqueId val="{00000003-9B0C-4598-A1E5-3CA0C294EEE2}"/>
              </c:ext>
            </c:extLst>
          </c:dPt>
          <c:dPt>
            <c:idx val="2"/>
            <c:invertIfNegative val="0"/>
            <c:bubble3D val="0"/>
            <c:spPr>
              <a:solidFill>
                <a:srgbClr val="FF0000"/>
              </a:solidFill>
              <a:ln w="0">
                <a:noFill/>
              </a:ln>
            </c:spPr>
            <c:extLst>
              <c:ext xmlns:c16="http://schemas.microsoft.com/office/drawing/2014/chart" uri="{C3380CC4-5D6E-409C-BE32-E72D297353CC}">
                <c16:uniqueId val="{00000005-9B0C-4598-A1E5-3CA0C294EEE2}"/>
              </c:ext>
            </c:extLst>
          </c:dPt>
          <c:dLbls>
            <c:dLbl>
              <c:idx val="0"/>
              <c:numFmt formatCode="#,##0" sourceLinked="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B0C-4598-A1E5-3CA0C294EEE2}"/>
                </c:ext>
              </c:extLst>
            </c:dLbl>
            <c:dLbl>
              <c:idx val="1"/>
              <c:numFmt formatCode="#,##0" sourceLinked="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B0C-4598-A1E5-3CA0C294EEE2}"/>
                </c:ext>
              </c:extLst>
            </c:dLbl>
            <c:dLbl>
              <c:idx val="2"/>
              <c:numFmt formatCode="#,##0" sourceLinked="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B0C-4598-A1E5-3CA0C294EEE2}"/>
                </c:ext>
              </c:extLst>
            </c:dLbl>
            <c:numFmt formatCode="#,##0" sourceLinked="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[1]Financial_Data!$C$2:$C$4</c:f>
              <c:numCache>
                <c:formatCode>General</c:formatCode>
                <c:ptCount val="3"/>
                <c:pt idx="0">
                  <c:v>358877</c:v>
                </c:pt>
                <c:pt idx="1">
                  <c:v>-137021</c:v>
                </c:pt>
                <c:pt idx="2">
                  <c:v>-400435</c:v>
                </c:pt>
              </c:numCache>
            </c:numRef>
          </c:val>
          <c:extLst>
            <c:ext xmlns:c16="http://schemas.microsoft.com/office/drawing/2014/chart" uri="{C3380CC4-5D6E-409C-BE32-E72D297353CC}">
              <c16:uniqueId val="{00000006-9B0C-4598-A1E5-3CA0C294EEE2}"/>
            </c:ext>
          </c:extLst>
        </c:ser>
        <c:dLbls>
          <c:showLegendKey val="0"/>
          <c:showVal val="0"/>
          <c:showCatName val="0"/>
          <c:showSerName val="0"/>
          <c:showPercent val="0"/>
          <c:showBubbleSize val="0"/>
        </c:dLbls>
        <c:gapWidth val="60"/>
        <c:axId val="61783376"/>
        <c:axId val="92466995"/>
      </c:barChart>
      <c:catAx>
        <c:axId val="6178337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92466995"/>
        <c:crosses val="autoZero"/>
        <c:auto val="1"/>
        <c:lblAlgn val="ctr"/>
        <c:lblOffset val="100"/>
        <c:noMultiLvlLbl val="0"/>
      </c:catAx>
      <c:valAx>
        <c:axId val="92466995"/>
        <c:scaling>
          <c:orientation val="minMax"/>
        </c:scaling>
        <c:delete val="0"/>
        <c:axPos val="l"/>
        <c:majorGridlines>
          <c:spPr>
            <a:ln w="648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Profit/(Loss) (₦ million)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783376"/>
        <c:crosses val="autoZero"/>
        <c:crossBetween val="between"/>
      </c:valAx>
      <c:spPr>
        <a:noFill/>
        <a:ln w="0">
          <a:noFill/>
        </a:ln>
      </c:spPr>
    </c:plotArea>
    <c:plotVisOnly val="1"/>
    <c:dispBlanksAs val="gap"/>
    <c:showDLblsOverMax val="1"/>
  </c:chart>
  <c:spPr>
    <a:solidFill>
      <a:srgbClr val="FFFFFF"/>
    </a:solidFill>
    <a:ln w="9360">
      <a:solidFill>
        <a:srgbClr val="BFBFBF"/>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MTN Nigeria Revenue and Profit/(Loss) Comparison (2022–2024)</a:t>
            </a:r>
          </a:p>
        </c:rich>
      </c:tx>
      <c:overlay val="0"/>
      <c:spPr>
        <a:noFill/>
        <a:ln w="0">
          <a:noFill/>
        </a:ln>
      </c:spPr>
    </c:title>
    <c:autoTitleDeleted val="0"/>
    <c:plotArea>
      <c:layout/>
      <c:barChart>
        <c:barDir val="col"/>
        <c:grouping val="clustered"/>
        <c:varyColors val="0"/>
        <c:ser>
          <c:idx val="0"/>
          <c:order val="0"/>
          <c:tx>
            <c:v>Revenue</c:v>
          </c:tx>
          <c:spPr>
            <a:solidFill>
              <a:srgbClr val="1F3864"/>
            </a:solidFill>
            <a:ln w="0">
              <a:noFill/>
            </a:ln>
          </c:spPr>
          <c:invertIfNegative val="0"/>
          <c:dLbls>
            <c:numFmt formatCode="#,##0" sourceLinked="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[1]Financial_Data!$B$2:$B$4</c:f>
              <c:numCache>
                <c:formatCode>General</c:formatCode>
                <c:ptCount val="3"/>
                <c:pt idx="0">
                  <c:v>2012272</c:v>
                </c:pt>
                <c:pt idx="1">
                  <c:v>2468847</c:v>
                </c:pt>
                <c:pt idx="2">
                  <c:v>3358461</c:v>
                </c:pt>
              </c:numCache>
            </c:numRef>
          </c:val>
          <c:extLst>
            <c:ext xmlns:c16="http://schemas.microsoft.com/office/drawing/2014/chart" uri="{C3380CC4-5D6E-409C-BE32-E72D297353CC}">
              <c16:uniqueId val="{00000000-2725-4EA7-A9A9-FBF2ED7C05D6}"/>
            </c:ext>
          </c:extLst>
        </c:ser>
        <c:ser>
          <c:idx val="1"/>
          <c:order val="1"/>
          <c:tx>
            <c:v>Profit/(Loss)</c:v>
          </c:tx>
          <c:spPr>
            <a:solidFill>
              <a:srgbClr val="ED7D31"/>
            </a:solidFill>
            <a:ln w="0">
              <a:noFill/>
            </a:ln>
          </c:spPr>
          <c:invertIfNegative val="0"/>
          <c:dLbls>
            <c:numFmt formatCode="#,##0" sourceLinked="0"/>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[1]Financial_Data!$C$2:$C$4</c:f>
              <c:numCache>
                <c:formatCode>General</c:formatCode>
                <c:ptCount val="3"/>
                <c:pt idx="0">
                  <c:v>358877</c:v>
                </c:pt>
                <c:pt idx="1">
                  <c:v>-137021</c:v>
                </c:pt>
                <c:pt idx="2">
                  <c:v>-400435</c:v>
                </c:pt>
              </c:numCache>
            </c:numRef>
          </c:val>
          <c:extLst>
            <c:ext xmlns:c16="http://schemas.microsoft.com/office/drawing/2014/chart" uri="{C3380CC4-5D6E-409C-BE32-E72D297353CC}">
              <c16:uniqueId val="{00000001-2725-4EA7-A9A9-FBF2ED7C05D6}"/>
            </c:ext>
          </c:extLst>
        </c:ser>
        <c:dLbls>
          <c:showLegendKey val="0"/>
          <c:showVal val="0"/>
          <c:showCatName val="0"/>
          <c:showSerName val="0"/>
          <c:showPercent val="0"/>
          <c:showBubbleSize val="0"/>
        </c:dLbls>
        <c:gapWidth val="80"/>
        <c:axId val="88453918"/>
        <c:axId val="68613526"/>
      </c:barChart>
      <c:catAx>
        <c:axId val="8845391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68613526"/>
        <c:crosses val="autoZero"/>
        <c:auto val="1"/>
        <c:lblAlgn val="ctr"/>
        <c:lblOffset val="100"/>
        <c:noMultiLvlLbl val="0"/>
      </c:catAx>
      <c:valAx>
        <c:axId val="68613526"/>
        <c:scaling>
          <c:orientation val="minMax"/>
        </c:scaling>
        <c:delete val="0"/>
        <c:axPos val="l"/>
        <c:majorGridlines>
          <c:spPr>
            <a:ln w="648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Amount (₦ million)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45391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BFBFBF"/>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MTN Nigeria Revenue Trend (2022–2024)</a:t>
            </a:r>
          </a:p>
        </c:rich>
      </c:tx>
      <c:overlay val="0"/>
      <c:spPr>
        <a:noFill/>
        <a:ln w="0">
          <a:noFill/>
        </a:ln>
      </c:spPr>
    </c:title>
    <c:autoTitleDeleted val="0"/>
    <c:plotArea>
      <c:layout/>
      <c:lineChart>
        <c:grouping val="standard"/>
        <c:varyColors val="0"/>
        <c:ser>
          <c:idx val="0"/>
          <c:order val="0"/>
          <c:tx>
            <c:v>Revenue</c:v>
          </c:tx>
          <c:spPr>
            <a:ln w="38160">
              <a:solidFill>
                <a:srgbClr val="1F3864"/>
              </a:solidFill>
              <a:round/>
            </a:ln>
          </c:spPr>
          <c:marker>
            <c:symbol val="square"/>
            <c:size val="8"/>
            <c:spPr>
              <a:solidFill>
                <a:srgbClr val="1F3864"/>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[1]Financial_Data!$B$2:$B$4</c:f>
              <c:numCache>
                <c:formatCode>General</c:formatCode>
                <c:ptCount val="3"/>
                <c:pt idx="0">
                  <c:v>2012272</c:v>
                </c:pt>
                <c:pt idx="1">
                  <c:v>2468847</c:v>
                </c:pt>
                <c:pt idx="2">
                  <c:v>3358461</c:v>
                </c:pt>
              </c:numCache>
            </c:numRef>
          </c:val>
          <c:smooth val="0"/>
          <c:extLst>
            <c:ext xmlns:c16="http://schemas.microsoft.com/office/drawing/2014/chart" uri="{C3380CC4-5D6E-409C-BE32-E72D297353CC}">
              <c16:uniqueId val="{00000000-865B-4A64-BB13-22FC93440904}"/>
            </c:ext>
          </c:extLst>
        </c:ser>
        <c:dLbls>
          <c:showLegendKey val="0"/>
          <c:showVal val="0"/>
          <c:showCatName val="0"/>
          <c:showSerName val="0"/>
          <c:showPercent val="0"/>
          <c:showBubbleSize val="0"/>
        </c:dLbls>
        <c:hiLowLines>
          <c:spPr>
            <a:ln w="0">
              <a:noFill/>
            </a:ln>
          </c:spPr>
        </c:hiLowLines>
        <c:marker val="1"/>
        <c:smooth val="0"/>
        <c:axId val="6972094"/>
        <c:axId val="23756897"/>
      </c:lineChart>
      <c:catAx>
        <c:axId val="697209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756897"/>
        <c:crosses val="autoZero"/>
        <c:auto val="1"/>
        <c:lblAlgn val="ctr"/>
        <c:lblOffset val="100"/>
        <c:noMultiLvlLbl val="0"/>
      </c:catAx>
      <c:valAx>
        <c:axId val="23756897"/>
        <c:scaling>
          <c:orientation val="minMax"/>
        </c:scaling>
        <c:delete val="0"/>
        <c:axPos val="l"/>
        <c:majorGridlines>
          <c:spPr>
            <a:ln w="648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 (₦ million)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72094"/>
        <c:crosses val="autoZero"/>
        <c:crossBetween val="between"/>
      </c:valAx>
      <c:spPr>
        <a:noFill/>
        <a:ln w="0">
          <a:noFill/>
        </a:ln>
      </c:spPr>
    </c:plotArea>
    <c:plotVisOnly val="1"/>
    <c:dispBlanksAs val="gap"/>
    <c:showDLblsOverMax val="1"/>
  </c:chart>
  <c:spPr>
    <a:solidFill>
      <a:srgbClr val="FFFFFF"/>
    </a:solidFill>
    <a:ln w="9360">
      <a:solidFill>
        <a:srgbClr val="BFBFBF"/>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MTN Nigeria Profit/(Loss) Trend (2022–2024)</a:t>
            </a:r>
          </a:p>
        </c:rich>
      </c:tx>
      <c:overlay val="0"/>
      <c:spPr>
        <a:noFill/>
        <a:ln w="0">
          <a:noFill/>
        </a:ln>
      </c:spPr>
    </c:title>
    <c:autoTitleDeleted val="0"/>
    <c:plotArea>
      <c:layout/>
      <c:barChart>
        <c:barDir val="col"/>
        <c:grouping val="clustered"/>
        <c:varyColors val="0"/>
        <c:ser>
          <c:idx val="0"/>
          <c:order val="0"/>
          <c:tx>
            <c:v>Profit/(Loss)</c:v>
          </c:tx>
          <c:spPr>
            <a:solidFill>
              <a:srgbClr val="4F81BD"/>
            </a:solidFill>
            <a:ln w="0">
              <a:noFill/>
            </a:ln>
          </c:spPr>
          <c:invertIfNegative val="0"/>
          <c:dPt>
            <c:idx val="0"/>
            <c:invertIfNegative val="0"/>
            <c:bubble3D val="0"/>
            <c:spPr>
              <a:solidFill>
                <a:srgbClr val="00B050"/>
              </a:solidFill>
              <a:ln w="0">
                <a:noFill/>
              </a:ln>
            </c:spPr>
            <c:extLst>
              <c:ext xmlns:c16="http://schemas.microsoft.com/office/drawing/2014/chart" uri="{C3380CC4-5D6E-409C-BE32-E72D297353CC}">
                <c16:uniqueId val="{00000001-5E63-4136-89F7-3D6F7381993C}"/>
              </c:ext>
            </c:extLst>
          </c:dPt>
          <c:dPt>
            <c:idx val="1"/>
            <c:invertIfNegative val="0"/>
            <c:bubble3D val="0"/>
            <c:spPr>
              <a:solidFill>
                <a:srgbClr val="FF0000"/>
              </a:solidFill>
              <a:ln w="0">
                <a:noFill/>
              </a:ln>
            </c:spPr>
            <c:extLst>
              <c:ext xmlns:c16="http://schemas.microsoft.com/office/drawing/2014/chart" uri="{C3380CC4-5D6E-409C-BE32-E72D297353CC}">
                <c16:uniqueId val="{00000003-5E63-4136-89F7-3D6F7381993C}"/>
              </c:ext>
            </c:extLst>
          </c:dPt>
          <c:dPt>
            <c:idx val="2"/>
            <c:invertIfNegative val="0"/>
            <c:bubble3D val="0"/>
            <c:spPr>
              <a:solidFill>
                <a:srgbClr val="FF0000"/>
              </a:solidFill>
              <a:ln w="0">
                <a:noFill/>
              </a:ln>
            </c:spPr>
            <c:extLst>
              <c:ext xmlns:c16="http://schemas.microsoft.com/office/drawing/2014/chart" uri="{C3380CC4-5D6E-409C-BE32-E72D297353CC}">
                <c16:uniqueId val="{00000005-5E63-4136-89F7-3D6F7381993C}"/>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5E63-4136-89F7-3D6F7381993C}"/>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5E63-4136-89F7-3D6F7381993C}"/>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5E63-4136-89F7-3D6F7381993C}"/>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[1]Financial_Data!$C$2:$C$4</c:f>
              <c:numCache>
                <c:formatCode>General</c:formatCode>
                <c:ptCount val="3"/>
                <c:pt idx="0">
                  <c:v>358877</c:v>
                </c:pt>
                <c:pt idx="1">
                  <c:v>-137021</c:v>
                </c:pt>
                <c:pt idx="2">
                  <c:v>-400435</c:v>
                </c:pt>
              </c:numCache>
            </c:numRef>
          </c:val>
          <c:extLst>
            <c:ext xmlns:c16="http://schemas.microsoft.com/office/drawing/2014/chart" uri="{C3380CC4-5D6E-409C-BE32-E72D297353CC}">
              <c16:uniqueId val="{00000006-5E63-4136-89F7-3D6F7381993C}"/>
            </c:ext>
          </c:extLst>
        </c:ser>
        <c:dLbls>
          <c:showLegendKey val="0"/>
          <c:showVal val="0"/>
          <c:showCatName val="0"/>
          <c:showSerName val="0"/>
          <c:showPercent val="0"/>
          <c:showBubbleSize val="0"/>
        </c:dLbls>
        <c:gapWidth val="60"/>
        <c:axId val="61783376"/>
        <c:axId val="92466995"/>
      </c:barChart>
      <c:catAx>
        <c:axId val="6178337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92466995"/>
        <c:crosses val="autoZero"/>
        <c:auto val="1"/>
        <c:lblAlgn val="ctr"/>
        <c:lblOffset val="100"/>
        <c:noMultiLvlLbl val="0"/>
      </c:catAx>
      <c:valAx>
        <c:axId val="92466995"/>
        <c:scaling>
          <c:orientation val="minMax"/>
        </c:scaling>
        <c:delete val="0"/>
        <c:axPos val="l"/>
        <c:majorGridlines>
          <c:spPr>
            <a:ln w="648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Profit/(Loss) (₦ million)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783376"/>
        <c:crosses val="autoZero"/>
        <c:crossBetween val="between"/>
      </c:valAx>
      <c:spPr>
        <a:noFill/>
        <a:ln w="0">
          <a:noFill/>
        </a:ln>
      </c:spPr>
    </c:plotArea>
    <c:plotVisOnly val="1"/>
    <c:dispBlanksAs val="gap"/>
    <c:showDLblsOverMax val="1"/>
  </c:chart>
  <c:spPr>
    <a:solidFill>
      <a:srgbClr val="FFFFFF"/>
    </a:solidFill>
    <a:ln w="9360">
      <a:solidFill>
        <a:srgbClr val="BFBFBF"/>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MTN Nigeria Revenue and Profit/(Loss) Comparison (2022–2024)</a:t>
            </a:r>
          </a:p>
        </c:rich>
      </c:tx>
      <c:overlay val="0"/>
      <c:spPr>
        <a:noFill/>
        <a:ln w="0">
          <a:noFill/>
        </a:ln>
      </c:spPr>
    </c:title>
    <c:autoTitleDeleted val="0"/>
    <c:plotArea>
      <c:layout/>
      <c:barChart>
        <c:barDir val="col"/>
        <c:grouping val="clustered"/>
        <c:varyColors val="0"/>
        <c:ser>
          <c:idx val="0"/>
          <c:order val="0"/>
          <c:tx>
            <c:v>Revenue</c:v>
          </c:tx>
          <c:spPr>
            <a:solidFill>
              <a:srgbClr val="1F386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[1]Financial_Data!$B$2:$B$4</c:f>
              <c:numCache>
                <c:formatCode>General</c:formatCode>
                <c:ptCount val="3"/>
                <c:pt idx="0">
                  <c:v>2012272</c:v>
                </c:pt>
                <c:pt idx="1">
                  <c:v>2468847</c:v>
                </c:pt>
                <c:pt idx="2">
                  <c:v>3358461</c:v>
                </c:pt>
              </c:numCache>
            </c:numRef>
          </c:val>
          <c:extLst>
            <c:ext xmlns:c16="http://schemas.microsoft.com/office/drawing/2014/chart" uri="{C3380CC4-5D6E-409C-BE32-E72D297353CC}">
              <c16:uniqueId val="{00000000-F916-4775-A34E-7A00BE46E84D}"/>
            </c:ext>
          </c:extLst>
        </c:ser>
        <c:ser>
          <c:idx val="1"/>
          <c:order val="1"/>
          <c:tx>
            <c:v>Profit/(Loss)</c:v>
          </c:tx>
          <c:spPr>
            <a:solidFill>
              <a:srgbClr val="ED7D3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[1]Financial_Data!$A$2:$A$4</c:f>
              <c:numCache>
                <c:formatCode>General</c:formatCode>
                <c:ptCount val="3"/>
                <c:pt idx="0">
                  <c:v>2022</c:v>
                </c:pt>
                <c:pt idx="1">
                  <c:v>2023</c:v>
                </c:pt>
                <c:pt idx="2">
                  <c:v>2024</c:v>
                </c:pt>
              </c:numCache>
            </c:numRef>
          </c:cat>
          <c:val>
            <c:numRef>
              <c:f>[1]Financial_Data!$C$2:$C$4</c:f>
              <c:numCache>
                <c:formatCode>General</c:formatCode>
                <c:ptCount val="3"/>
                <c:pt idx="0">
                  <c:v>358877</c:v>
                </c:pt>
                <c:pt idx="1">
                  <c:v>-137021</c:v>
                </c:pt>
                <c:pt idx="2">
                  <c:v>-400435</c:v>
                </c:pt>
              </c:numCache>
            </c:numRef>
          </c:val>
          <c:extLst>
            <c:ext xmlns:c16="http://schemas.microsoft.com/office/drawing/2014/chart" uri="{C3380CC4-5D6E-409C-BE32-E72D297353CC}">
              <c16:uniqueId val="{00000001-F916-4775-A34E-7A00BE46E84D}"/>
            </c:ext>
          </c:extLst>
        </c:ser>
        <c:dLbls>
          <c:showLegendKey val="0"/>
          <c:showVal val="0"/>
          <c:showCatName val="0"/>
          <c:showSerName val="0"/>
          <c:showPercent val="0"/>
          <c:showBubbleSize val="0"/>
        </c:dLbls>
        <c:gapWidth val="80"/>
        <c:axId val="88453918"/>
        <c:axId val="68613526"/>
      </c:barChart>
      <c:catAx>
        <c:axId val="8845391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68613526"/>
        <c:crosses val="autoZero"/>
        <c:auto val="1"/>
        <c:lblAlgn val="ctr"/>
        <c:lblOffset val="100"/>
        <c:noMultiLvlLbl val="0"/>
      </c:catAx>
      <c:valAx>
        <c:axId val="68613526"/>
        <c:scaling>
          <c:orientation val="minMax"/>
        </c:scaling>
        <c:delete val="0"/>
        <c:axPos val="l"/>
        <c:majorGridlines>
          <c:spPr>
            <a:ln w="6480">
              <a:solidFill>
                <a:srgbClr val="D9D9D9"/>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Amount (₦ million)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45391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BFBFBF"/>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103187</xdr:colOff>
      <xdr:row>0</xdr:row>
      <xdr:rowOff>63500</xdr:rowOff>
    </xdr:from>
    <xdr:ext cx="3807720" cy="2837520"/>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928687</xdr:colOff>
      <xdr:row>0</xdr:row>
      <xdr:rowOff>71438</xdr:rowOff>
    </xdr:from>
    <xdr:ext cx="3807360" cy="2837520"/>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127000</xdr:colOff>
      <xdr:row>16</xdr:row>
      <xdr:rowOff>119063</xdr:rowOff>
    </xdr:from>
    <xdr:ext cx="7660800" cy="3110400"/>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6</xdr:row>
      <xdr:rowOff>0</xdr:rowOff>
    </xdr:from>
    <xdr:ext cx="3807720" cy="2837520"/>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6</xdr:row>
      <xdr:rowOff>0</xdr:rowOff>
    </xdr:from>
    <xdr:ext cx="3807360" cy="2837520"/>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23</xdr:row>
      <xdr:rowOff>0</xdr:rowOff>
    </xdr:from>
    <xdr:ext cx="7660800" cy="3110400"/>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wnloads\MTN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Financial_Data"/>
    </sheetNames>
    <sheetDataSet>
      <sheetData sheetId="0"/>
      <sheetData sheetId="1">
        <row r="2">
          <cell r="A2">
            <v>2022</v>
          </cell>
          <cell r="B2">
            <v>2012272</v>
          </cell>
          <cell r="C2">
            <v>358877</v>
          </cell>
        </row>
        <row r="3">
          <cell r="A3">
            <v>2023</v>
          </cell>
          <cell r="B3">
            <v>2468847</v>
          </cell>
          <cell r="C3">
            <v>-137021</v>
          </cell>
        </row>
        <row r="4">
          <cell r="A4">
            <v>2024</v>
          </cell>
          <cell r="B4">
            <v>3358461</v>
          </cell>
          <cell r="C4">
            <v>-400435</v>
          </cell>
          <cell r="E4">
            <v>-0.119231695708243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abSelected="1" zoomScaleNormal="100" workbookViewId="0">
      <pane xSplit="1" ySplit="1" topLeftCell="B2" activePane="bottomRight" state="frozen"/>
      <selection pane="topRight" activeCell="B1" sqref="B1"/>
      <selection pane="bottomLeft" activeCell="A2" sqref="A2"/>
      <selection pane="bottomRight" activeCell="H4" sqref="H4"/>
    </sheetView>
  </sheetViews>
  <sheetFormatPr defaultColWidth="8.6640625" defaultRowHeight="14.4" x14ac:dyDescent="0.3"/>
  <cols>
    <col min="1" max="1" width="10" style="2" customWidth="1"/>
    <col min="2" max="8" width="18" style="2" customWidth="1"/>
    <col min="9" max="16384" width="8.6640625" style="2"/>
  </cols>
  <sheetData>
    <row r="1" spans="1:8" ht="31.5" customHeight="1" x14ac:dyDescent="0.3">
      <c r="A1" s="13" t="s">
        <v>0</v>
      </c>
      <c r="B1" s="13" t="s">
        <v>27</v>
      </c>
      <c r="C1" s="13" t="s">
        <v>47</v>
      </c>
      <c r="D1" s="13" t="s">
        <v>46</v>
      </c>
      <c r="E1" s="13" t="s">
        <v>45</v>
      </c>
      <c r="F1" s="13" t="s">
        <v>44</v>
      </c>
      <c r="G1" s="13" t="s">
        <v>43</v>
      </c>
      <c r="H1" s="13" t="s">
        <v>42</v>
      </c>
    </row>
    <row r="2" spans="1:8" x14ac:dyDescent="0.3">
      <c r="A2" s="8">
        <v>2022</v>
      </c>
      <c r="B2" s="5">
        <v>2012272</v>
      </c>
      <c r="C2" s="5">
        <v>358877</v>
      </c>
      <c r="D2" s="6" t="s">
        <v>41</v>
      </c>
      <c r="E2" s="6">
        <f>C2/B2</f>
        <v>0.17834418011083988</v>
      </c>
      <c r="F2" s="7" t="s">
        <v>41</v>
      </c>
      <c r="G2" s="6">
        <f>H2/B2</f>
        <v>0.36441296206477058</v>
      </c>
      <c r="H2" s="5">
        <v>733298</v>
      </c>
    </row>
    <row r="3" spans="1:8" x14ac:dyDescent="0.3">
      <c r="A3" s="12">
        <v>2023</v>
      </c>
      <c r="B3" s="9">
        <v>2468847</v>
      </c>
      <c r="C3" s="9">
        <v>-137021</v>
      </c>
      <c r="D3" s="10">
        <f>(B3-B2)/B2</f>
        <v>0.22689527061947887</v>
      </c>
      <c r="E3" s="10">
        <f>C3/B3</f>
        <v>-5.5499996557097302E-2</v>
      </c>
      <c r="F3" s="11">
        <f>C3-C2</f>
        <v>-495898</v>
      </c>
      <c r="G3" s="10">
        <f>H3/B3</f>
        <v>0.313368953199611</v>
      </c>
      <c r="H3" s="9">
        <v>773660</v>
      </c>
    </row>
    <row r="4" spans="1:8" x14ac:dyDescent="0.3">
      <c r="A4" s="8">
        <v>2024</v>
      </c>
      <c r="B4" s="5">
        <v>3358461</v>
      </c>
      <c r="C4" s="5">
        <v>-400435</v>
      </c>
      <c r="D4" s="6">
        <f>(B4-B3)/B3</f>
        <v>0.36033581667879783</v>
      </c>
      <c r="E4" s="6">
        <f>C4/B4</f>
        <v>-0.11923169570824256</v>
      </c>
      <c r="F4" s="7">
        <f>C4-C3</f>
        <v>-263414</v>
      </c>
      <c r="G4" s="6">
        <f>H4/B4</f>
        <v>0.23172637705186988</v>
      </c>
      <c r="H4" s="5">
        <v>778244</v>
      </c>
    </row>
    <row r="6" spans="1:8" x14ac:dyDescent="0.3">
      <c r="A6" s="4" t="s">
        <v>40</v>
      </c>
    </row>
    <row r="7" spans="1:8" x14ac:dyDescent="0.3">
      <c r="A7" s="4" t="s">
        <v>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9"/>
  <sheetViews>
    <sheetView zoomScaleNormal="100" workbookViewId="0">
      <pane ySplit="1" topLeftCell="A38" activePane="bottomLeft" state="frozen"/>
      <selection pane="bottomLeft" activeCell="C64" sqref="C64"/>
    </sheetView>
  </sheetViews>
  <sheetFormatPr defaultColWidth="8.6640625" defaultRowHeight="14.4" x14ac:dyDescent="0.3"/>
  <cols>
    <col min="1" max="1" width="8" style="2" customWidth="1"/>
    <col min="2" max="2" width="55" style="2" customWidth="1"/>
    <col min="3" max="3" width="18" style="2" customWidth="1"/>
    <col min="4" max="16384" width="8.6640625" style="2"/>
  </cols>
  <sheetData>
    <row r="1" spans="1:3" ht="24" customHeight="1" x14ac:dyDescent="0.3">
      <c r="A1" s="25" t="s">
        <v>0</v>
      </c>
      <c r="B1" s="25" t="s">
        <v>73</v>
      </c>
      <c r="C1" s="25" t="s">
        <v>72</v>
      </c>
    </row>
    <row r="2" spans="1:3" x14ac:dyDescent="0.3">
      <c r="A2" s="24">
        <v>2024</v>
      </c>
      <c r="B2" s="23" t="s">
        <v>71</v>
      </c>
      <c r="C2" s="22">
        <v>778244</v>
      </c>
    </row>
    <row r="3" spans="1:3" x14ac:dyDescent="0.3">
      <c r="A3" s="24">
        <v>2024</v>
      </c>
      <c r="B3" s="23" t="s">
        <v>70</v>
      </c>
      <c r="C3" s="22">
        <v>28440</v>
      </c>
    </row>
    <row r="4" spans="1:3" x14ac:dyDescent="0.3">
      <c r="A4" s="24">
        <v>2024</v>
      </c>
      <c r="B4" s="23" t="s">
        <v>69</v>
      </c>
      <c r="C4" s="22">
        <v>-431648</v>
      </c>
    </row>
    <row r="5" spans="1:3" x14ac:dyDescent="0.3">
      <c r="A5" s="24">
        <v>2024</v>
      </c>
      <c r="B5" s="23" t="s">
        <v>68</v>
      </c>
      <c r="C5" s="22">
        <v>-925361</v>
      </c>
    </row>
    <row r="6" spans="1:3" x14ac:dyDescent="0.3">
      <c r="A6" s="24">
        <v>2024</v>
      </c>
      <c r="B6" s="23" t="s">
        <v>67</v>
      </c>
      <c r="C6" s="22">
        <v>-550325</v>
      </c>
    </row>
    <row r="7" spans="1:3" x14ac:dyDescent="0.3">
      <c r="A7" s="24">
        <v>2024</v>
      </c>
      <c r="B7" s="23" t="s">
        <v>66</v>
      </c>
      <c r="C7" s="22">
        <v>149890</v>
      </c>
    </row>
    <row r="8" spans="1:3" x14ac:dyDescent="0.3">
      <c r="A8" s="24">
        <v>2024</v>
      </c>
      <c r="B8" s="23" t="s">
        <v>65</v>
      </c>
      <c r="C8" s="22">
        <v>-400435</v>
      </c>
    </row>
    <row r="9" spans="1:3" x14ac:dyDescent="0.3">
      <c r="A9" s="21"/>
      <c r="B9" s="21"/>
      <c r="C9" s="21"/>
    </row>
    <row r="10" spans="1:3" x14ac:dyDescent="0.3">
      <c r="A10" s="16"/>
      <c r="B10" s="15" t="s">
        <v>2</v>
      </c>
      <c r="C10" s="20">
        <f>C4+C5</f>
        <v>-1357009</v>
      </c>
    </row>
    <row r="11" spans="1:3" x14ac:dyDescent="0.3">
      <c r="A11" s="16"/>
      <c r="B11" s="15" t="s">
        <v>3</v>
      </c>
      <c r="C11" s="20">
        <f>C2+C10</f>
        <v>-578765</v>
      </c>
    </row>
    <row r="12" spans="1:3" x14ac:dyDescent="0.3">
      <c r="A12" s="16"/>
      <c r="B12" s="15" t="s">
        <v>4</v>
      </c>
      <c r="C12" s="20">
        <f>C11+C3</f>
        <v>-550325</v>
      </c>
    </row>
    <row r="13" spans="1:3" x14ac:dyDescent="0.3">
      <c r="A13" s="16"/>
      <c r="B13" s="18" t="s">
        <v>5</v>
      </c>
      <c r="C13" s="19">
        <f>C12+C7</f>
        <v>-400435</v>
      </c>
    </row>
    <row r="14" spans="1:3" x14ac:dyDescent="0.3">
      <c r="A14" s="16"/>
      <c r="B14" s="15" t="s">
        <v>6</v>
      </c>
      <c r="C14" s="14">
        <f>C2/3358461</f>
        <v>0.23172637705186988</v>
      </c>
    </row>
    <row r="15" spans="1:3" x14ac:dyDescent="0.3">
      <c r="A15" s="16"/>
      <c r="B15" s="15" t="s">
        <v>7</v>
      </c>
      <c r="C15" s="14">
        <f>-C4/3358461</f>
        <v>0.12852553595233054</v>
      </c>
    </row>
    <row r="16" spans="1:3" x14ac:dyDescent="0.3">
      <c r="A16" s="16"/>
      <c r="B16" s="15" t="s">
        <v>8</v>
      </c>
      <c r="C16" s="14">
        <f>ABS(C5)/ 3358461</f>
        <v>0.27553126268252037</v>
      </c>
    </row>
    <row r="17" spans="1:3" x14ac:dyDescent="0.3">
      <c r="A17" s="16"/>
      <c r="B17" s="18" t="s">
        <v>9</v>
      </c>
      <c r="C17" s="17">
        <f>C8/3358461</f>
        <v>-0.11923169570824256</v>
      </c>
    </row>
    <row r="18" spans="1:3" x14ac:dyDescent="0.3">
      <c r="A18" s="16"/>
      <c r="B18" s="15" t="s">
        <v>10</v>
      </c>
      <c r="C18" s="14">
        <f>C7/ABS(C6)</f>
        <v>0.27236632898741653</v>
      </c>
    </row>
    <row r="19" spans="1:3" x14ac:dyDescent="0.3">
      <c r="A19" s="21"/>
      <c r="B19" s="21"/>
      <c r="C19" s="21"/>
    </row>
    <row r="20" spans="1:3" x14ac:dyDescent="0.3">
      <c r="A20" s="21"/>
      <c r="B20" s="21"/>
      <c r="C20" s="21"/>
    </row>
    <row r="21" spans="1:3" x14ac:dyDescent="0.3">
      <c r="A21" s="24">
        <v>2023</v>
      </c>
      <c r="B21" s="23" t="s">
        <v>64</v>
      </c>
      <c r="C21" s="22">
        <v>773660</v>
      </c>
    </row>
    <row r="22" spans="1:3" x14ac:dyDescent="0.3">
      <c r="A22" s="24">
        <v>2023</v>
      </c>
      <c r="B22" s="23" t="s">
        <v>63</v>
      </c>
      <c r="C22" s="22">
        <v>25815</v>
      </c>
    </row>
    <row r="23" spans="1:3" x14ac:dyDescent="0.3">
      <c r="A23" s="24">
        <v>2023</v>
      </c>
      <c r="B23" s="23" t="s">
        <v>62</v>
      </c>
      <c r="C23" s="22">
        <v>-236927</v>
      </c>
    </row>
    <row r="24" spans="1:3" x14ac:dyDescent="0.3">
      <c r="A24" s="24">
        <v>2023</v>
      </c>
      <c r="B24" s="23" t="s">
        <v>61</v>
      </c>
      <c r="C24" s="22">
        <v>-740434</v>
      </c>
    </row>
    <row r="25" spans="1:3" x14ac:dyDescent="0.3">
      <c r="A25" s="24">
        <v>2023</v>
      </c>
      <c r="B25" s="23" t="s">
        <v>60</v>
      </c>
      <c r="C25" s="22">
        <v>-177886</v>
      </c>
    </row>
    <row r="26" spans="1:3" x14ac:dyDescent="0.3">
      <c r="A26" s="24">
        <v>2023</v>
      </c>
      <c r="B26" s="23" t="s">
        <v>59</v>
      </c>
      <c r="C26" s="22">
        <v>40865</v>
      </c>
    </row>
    <row r="27" spans="1:3" x14ac:dyDescent="0.3">
      <c r="A27" s="24">
        <v>2023</v>
      </c>
      <c r="B27" s="23" t="s">
        <v>58</v>
      </c>
      <c r="C27" s="22">
        <v>-137021</v>
      </c>
    </row>
    <row r="28" spans="1:3" x14ac:dyDescent="0.3">
      <c r="A28" s="21"/>
      <c r="B28" s="21"/>
      <c r="C28" s="21"/>
    </row>
    <row r="29" spans="1:3" x14ac:dyDescent="0.3">
      <c r="A29" s="16"/>
      <c r="B29" s="15" t="s">
        <v>2</v>
      </c>
      <c r="C29" s="20">
        <f>C23+C24</f>
        <v>-977361</v>
      </c>
    </row>
    <row r="30" spans="1:3" x14ac:dyDescent="0.3">
      <c r="A30" s="16"/>
      <c r="B30" s="15" t="s">
        <v>3</v>
      </c>
      <c r="C30" s="20">
        <f>C21+C29</f>
        <v>-203701</v>
      </c>
    </row>
    <row r="31" spans="1:3" x14ac:dyDescent="0.3">
      <c r="A31" s="16"/>
      <c r="B31" s="15" t="s">
        <v>4</v>
      </c>
      <c r="C31" s="20">
        <f>C30+C22</f>
        <v>-177886</v>
      </c>
    </row>
    <row r="32" spans="1:3" x14ac:dyDescent="0.3">
      <c r="A32" s="16"/>
      <c r="B32" s="18" t="s">
        <v>5</v>
      </c>
      <c r="C32" s="19">
        <f>C31+C26</f>
        <v>-137021</v>
      </c>
    </row>
    <row r="33" spans="1:3" x14ac:dyDescent="0.3">
      <c r="A33" s="16"/>
      <c r="B33" s="15" t="s">
        <v>6</v>
      </c>
      <c r="C33" s="14">
        <f>C21/2468847</f>
        <v>0.313368953199611</v>
      </c>
    </row>
    <row r="34" spans="1:3" x14ac:dyDescent="0.3">
      <c r="A34" s="16"/>
      <c r="B34" s="15" t="s">
        <v>7</v>
      </c>
      <c r="C34" s="14">
        <f>-C23/2468847</f>
        <v>9.5966659740356536E-2</v>
      </c>
    </row>
    <row r="35" spans="1:3" x14ac:dyDescent="0.3">
      <c r="A35" s="16"/>
      <c r="B35" s="15" t="s">
        <v>8</v>
      </c>
      <c r="C35" s="14">
        <f>-C32/2468847</f>
        <v>5.5499996557097302E-2</v>
      </c>
    </row>
    <row r="36" spans="1:3" x14ac:dyDescent="0.3">
      <c r="A36" s="16"/>
      <c r="B36" s="18" t="s">
        <v>9</v>
      </c>
      <c r="C36" s="17">
        <f>C27/2468847</f>
        <v>-5.5499996557097302E-2</v>
      </c>
    </row>
    <row r="37" spans="1:3" x14ac:dyDescent="0.3">
      <c r="A37" s="16"/>
      <c r="B37" s="15" t="s">
        <v>10</v>
      </c>
      <c r="C37" s="14">
        <f>C26/ABS(C25)</f>
        <v>0.22972577943177092</v>
      </c>
    </row>
    <row r="38" spans="1:3" x14ac:dyDescent="0.3">
      <c r="A38" s="21"/>
      <c r="B38" s="21"/>
      <c r="C38" s="21"/>
    </row>
    <row r="39" spans="1:3" x14ac:dyDescent="0.3">
      <c r="A39" s="21"/>
      <c r="B39" s="21"/>
      <c r="C39" s="21"/>
    </row>
    <row r="40" spans="1:3" x14ac:dyDescent="0.3">
      <c r="A40" s="24">
        <v>2022</v>
      </c>
      <c r="B40" s="23" t="s">
        <v>57</v>
      </c>
      <c r="C40" s="22">
        <v>733298</v>
      </c>
    </row>
    <row r="41" spans="1:3" x14ac:dyDescent="0.3">
      <c r="A41" s="24">
        <v>2022</v>
      </c>
      <c r="B41" s="23" t="s">
        <v>56</v>
      </c>
      <c r="C41" s="22">
        <v>13768</v>
      </c>
    </row>
    <row r="42" spans="1:3" x14ac:dyDescent="0.3">
      <c r="A42" s="24">
        <v>2022</v>
      </c>
      <c r="B42" s="23" t="s">
        <v>55</v>
      </c>
      <c r="C42" s="22">
        <v>-213094</v>
      </c>
    </row>
    <row r="43" spans="1:3" x14ac:dyDescent="0.3">
      <c r="A43" s="24">
        <v>2022</v>
      </c>
      <c r="B43" s="23" t="s">
        <v>54</v>
      </c>
      <c r="C43" s="22">
        <v>-56221</v>
      </c>
    </row>
    <row r="44" spans="1:3" x14ac:dyDescent="0.3">
      <c r="A44" s="24">
        <v>2022</v>
      </c>
      <c r="B44" s="23" t="s">
        <v>53</v>
      </c>
      <c r="C44" s="22">
        <v>533972</v>
      </c>
    </row>
    <row r="45" spans="1:3" x14ac:dyDescent="0.3">
      <c r="A45" s="24">
        <v>2022</v>
      </c>
      <c r="B45" s="23" t="s">
        <v>52</v>
      </c>
      <c r="C45" s="22">
        <v>-175095</v>
      </c>
    </row>
    <row r="46" spans="1:3" x14ac:dyDescent="0.3">
      <c r="A46" s="24">
        <v>2022</v>
      </c>
      <c r="B46" s="23" t="s">
        <v>51</v>
      </c>
      <c r="C46" s="22">
        <v>358877</v>
      </c>
    </row>
    <row r="47" spans="1:3" x14ac:dyDescent="0.3">
      <c r="A47" s="21"/>
      <c r="B47" s="21"/>
      <c r="C47" s="21"/>
    </row>
    <row r="48" spans="1:3" x14ac:dyDescent="0.3">
      <c r="A48" s="16"/>
      <c r="B48" s="15" t="s">
        <v>2</v>
      </c>
      <c r="C48" s="20">
        <f>C42</f>
        <v>-213094</v>
      </c>
    </row>
    <row r="49" spans="1:3" x14ac:dyDescent="0.3">
      <c r="A49" s="16"/>
      <c r="B49" s="15" t="s">
        <v>3</v>
      </c>
      <c r="C49" s="20">
        <f>C40+C48</f>
        <v>520204</v>
      </c>
    </row>
    <row r="50" spans="1:3" x14ac:dyDescent="0.3">
      <c r="A50" s="16"/>
      <c r="B50" s="15" t="s">
        <v>11</v>
      </c>
      <c r="C50" s="20">
        <f>C49+C41</f>
        <v>533972</v>
      </c>
    </row>
    <row r="51" spans="1:3" x14ac:dyDescent="0.3">
      <c r="A51" s="16"/>
      <c r="B51" s="18" t="s">
        <v>12</v>
      </c>
      <c r="C51" s="19">
        <f>C50+C45</f>
        <v>358877</v>
      </c>
    </row>
    <row r="52" spans="1:3" x14ac:dyDescent="0.3">
      <c r="A52" s="16"/>
      <c r="B52" s="15" t="s">
        <v>6</v>
      </c>
      <c r="C52" s="14">
        <f>C40/2012272</f>
        <v>0.36441296206477058</v>
      </c>
    </row>
    <row r="53" spans="1:3" x14ac:dyDescent="0.3">
      <c r="A53" s="16"/>
      <c r="B53" s="15" t="s">
        <v>7</v>
      </c>
      <c r="C53" s="14">
        <f>-C42/2012272</f>
        <v>0.10589721469065812</v>
      </c>
    </row>
    <row r="54" spans="1:3" x14ac:dyDescent="0.3">
      <c r="A54" s="16"/>
      <c r="B54" s="15" t="s">
        <v>8</v>
      </c>
      <c r="C54" s="14">
        <f>-C43/2012272</f>
        <v>2.79390658916886E-2</v>
      </c>
    </row>
    <row r="55" spans="1:3" x14ac:dyDescent="0.3">
      <c r="A55" s="16"/>
      <c r="B55" s="18" t="s">
        <v>9</v>
      </c>
      <c r="C55" s="17">
        <f>C46/2012272</f>
        <v>0.17834418011083988</v>
      </c>
    </row>
    <row r="56" spans="1:3" x14ac:dyDescent="0.3">
      <c r="A56" s="16"/>
      <c r="B56" s="15" t="s">
        <v>50</v>
      </c>
      <c r="C56" s="14">
        <f>C45/ABS(C44)</f>
        <v>-0.32791045223345044</v>
      </c>
    </row>
    <row r="58" spans="1:3" x14ac:dyDescent="0.3">
      <c r="A58" s="4" t="s">
        <v>49</v>
      </c>
    </row>
    <row r="59" spans="1:3" x14ac:dyDescent="0.3">
      <c r="A59" s="4" t="s">
        <v>48</v>
      </c>
    </row>
  </sheetData>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showGridLines="0" topLeftCell="A3" zoomScale="96" zoomScaleNormal="96" workbookViewId="0">
      <selection activeCell="A22" sqref="A22"/>
    </sheetView>
  </sheetViews>
  <sheetFormatPr defaultRowHeight="14.4" x14ac:dyDescent="0.3"/>
  <cols>
    <col min="1" max="8" width="14.77734375" customWidth="1"/>
  </cols>
  <sheetData>
    <row r="1" spans="1:10" x14ac:dyDescent="0.3">
      <c r="A1" s="1"/>
      <c r="B1" s="1"/>
      <c r="I1" s="1"/>
      <c r="J1" s="1"/>
    </row>
    <row r="2" spans="1:10" x14ac:dyDescent="0.3">
      <c r="A2" s="1"/>
      <c r="B2" s="1"/>
      <c r="I2" s="1"/>
      <c r="J2" s="1"/>
    </row>
    <row r="3" spans="1:10" x14ac:dyDescent="0.3">
      <c r="A3" s="1"/>
      <c r="B3" s="1"/>
      <c r="I3" s="1"/>
      <c r="J3" s="1"/>
    </row>
    <row r="4" spans="1:10" x14ac:dyDescent="0.3">
      <c r="A4" s="1"/>
      <c r="B4" s="1"/>
      <c r="I4" s="1"/>
      <c r="J4" s="1"/>
    </row>
    <row r="5" spans="1:10" x14ac:dyDescent="0.3">
      <c r="A5" s="1"/>
      <c r="B5" s="1"/>
      <c r="I5" s="1"/>
      <c r="J5" s="1"/>
    </row>
    <row r="6" spans="1:10" x14ac:dyDescent="0.3">
      <c r="A6" s="1"/>
      <c r="B6" s="1"/>
      <c r="I6" s="1"/>
      <c r="J6" s="1"/>
    </row>
    <row r="7" spans="1:10" x14ac:dyDescent="0.3">
      <c r="A7" s="1"/>
      <c r="B7" s="1"/>
      <c r="I7" s="1"/>
      <c r="J7" s="1"/>
    </row>
    <row r="8" spans="1:10" x14ac:dyDescent="0.3">
      <c r="A8" s="1"/>
      <c r="B8" s="1"/>
      <c r="I8" s="1"/>
      <c r="J8" s="1"/>
    </row>
    <row r="9" spans="1:10" x14ac:dyDescent="0.3">
      <c r="A9" s="1"/>
      <c r="B9" s="1"/>
      <c r="I9" s="1"/>
      <c r="J9" s="1"/>
    </row>
    <row r="10" spans="1:10" x14ac:dyDescent="0.3">
      <c r="A10" s="1"/>
      <c r="B10" s="1"/>
      <c r="I10" s="1"/>
      <c r="J10" s="1"/>
    </row>
    <row r="11" spans="1:10" x14ac:dyDescent="0.3">
      <c r="A11" s="1"/>
      <c r="B11" s="1"/>
      <c r="I11" s="1"/>
      <c r="J11" s="1"/>
    </row>
    <row r="12" spans="1:10" x14ac:dyDescent="0.3">
      <c r="A12" s="1"/>
      <c r="B12" s="1"/>
      <c r="I12" s="1"/>
      <c r="J12" s="1"/>
    </row>
    <row r="13" spans="1:10" x14ac:dyDescent="0.3">
      <c r="A13" s="1"/>
      <c r="B13" s="1"/>
      <c r="I13" s="1"/>
      <c r="J13" s="1"/>
    </row>
    <row r="14" spans="1:10" x14ac:dyDescent="0.3">
      <c r="A14" s="1"/>
      <c r="B14" s="1"/>
      <c r="I14" s="1"/>
      <c r="J14" s="1"/>
    </row>
    <row r="15" spans="1:10" x14ac:dyDescent="0.3">
      <c r="A15" s="1"/>
      <c r="B15" s="1"/>
      <c r="I15" s="1"/>
      <c r="J15" s="1"/>
    </row>
    <row r="16" spans="1:10" x14ac:dyDescent="0.3">
      <c r="A16" s="1"/>
      <c r="B16" s="1"/>
      <c r="I16" s="1"/>
      <c r="J16" s="1"/>
    </row>
    <row r="17" spans="1:10" x14ac:dyDescent="0.3">
      <c r="A17" s="1"/>
      <c r="B17" s="1"/>
      <c r="I17" s="1"/>
      <c r="J17" s="1"/>
    </row>
    <row r="18" spans="1:10" x14ac:dyDescent="0.3">
      <c r="A18" s="1"/>
      <c r="B18" s="1"/>
      <c r="I18" s="1"/>
      <c r="J18" s="1"/>
    </row>
    <row r="19" spans="1:10" x14ac:dyDescent="0.3">
      <c r="A19" s="1"/>
      <c r="B19" s="1"/>
      <c r="I19" s="1"/>
      <c r="J19" s="1"/>
    </row>
    <row r="20" spans="1:10" x14ac:dyDescent="0.3">
      <c r="A20" s="1"/>
      <c r="B20" s="1"/>
      <c r="I20" s="1"/>
      <c r="J20" s="1"/>
    </row>
    <row r="21" spans="1:10" x14ac:dyDescent="0.3">
      <c r="A21" s="1"/>
      <c r="B21" s="1"/>
      <c r="I21" s="1"/>
      <c r="J21"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6"/>
  <sheetViews>
    <sheetView showGridLines="0" zoomScale="81" zoomScaleNormal="81" workbookViewId="0">
      <selection activeCell="G15" sqref="G15"/>
    </sheetView>
  </sheetViews>
  <sheetFormatPr defaultColWidth="8.6640625" defaultRowHeight="14.4" x14ac:dyDescent="0.3"/>
  <cols>
    <col min="1" max="1" width="30" style="2" customWidth="1"/>
    <col min="2" max="4" width="14" style="2" customWidth="1"/>
    <col min="5" max="5" width="18" style="2" customWidth="1"/>
    <col min="6" max="6" width="78" style="2" customWidth="1"/>
    <col min="7" max="16384" width="8.6640625" style="2"/>
  </cols>
  <sheetData>
    <row r="1" spans="1:6" ht="33.75" customHeight="1" x14ac:dyDescent="0.3">
      <c r="A1" s="48" t="s">
        <v>13</v>
      </c>
      <c r="B1" s="48"/>
      <c r="C1" s="48"/>
      <c r="D1" s="48"/>
      <c r="E1" s="48"/>
      <c r="F1" s="48"/>
    </row>
    <row r="2" spans="1:6" x14ac:dyDescent="0.3">
      <c r="A2" s="49" t="s">
        <v>93</v>
      </c>
      <c r="B2" s="49"/>
      <c r="C2" s="49"/>
      <c r="D2" s="49"/>
      <c r="E2" s="49"/>
      <c r="F2" s="49"/>
    </row>
    <row r="4" spans="1:6" ht="21.75" customHeight="1" thickBot="1" x14ac:dyDescent="0.4">
      <c r="A4" s="45" t="s">
        <v>92</v>
      </c>
      <c r="B4" s="45"/>
      <c r="C4" s="45"/>
      <c r="D4" s="45"/>
      <c r="E4" s="45"/>
      <c r="F4" s="45"/>
    </row>
    <row r="5" spans="1:6" ht="21.75" customHeight="1" x14ac:dyDescent="0.3">
      <c r="A5" s="25" t="s">
        <v>14</v>
      </c>
      <c r="B5" s="50" t="s">
        <v>15</v>
      </c>
      <c r="C5" s="50"/>
      <c r="D5" s="50"/>
      <c r="E5" s="50"/>
      <c r="F5" s="25" t="s">
        <v>16</v>
      </c>
    </row>
    <row r="6" spans="1:6" ht="33.75" customHeight="1" x14ac:dyDescent="0.3">
      <c r="A6" s="42" t="s">
        <v>17</v>
      </c>
      <c r="B6" s="44" t="s">
        <v>91</v>
      </c>
      <c r="C6" s="44"/>
      <c r="D6" s="44"/>
      <c r="E6" s="44"/>
      <c r="F6" s="41" t="s">
        <v>18</v>
      </c>
    </row>
    <row r="7" spans="1:6" ht="33.75" customHeight="1" x14ac:dyDescent="0.3">
      <c r="A7" s="40" t="s">
        <v>19</v>
      </c>
      <c r="B7" s="43" t="s">
        <v>90</v>
      </c>
      <c r="C7" s="43"/>
      <c r="D7" s="43"/>
      <c r="E7" s="43"/>
      <c r="F7" s="39" t="s">
        <v>20</v>
      </c>
    </row>
    <row r="8" spans="1:6" ht="18.75" customHeight="1" x14ac:dyDescent="0.3">
      <c r="A8" s="42" t="s">
        <v>21</v>
      </c>
      <c r="B8" s="44" t="s">
        <v>22</v>
      </c>
      <c r="C8" s="44"/>
      <c r="D8" s="44"/>
      <c r="E8" s="44"/>
      <c r="F8" s="41" t="s">
        <v>23</v>
      </c>
    </row>
    <row r="9" spans="1:6" ht="33.75" customHeight="1" x14ac:dyDescent="0.3">
      <c r="A9" s="40" t="s">
        <v>24</v>
      </c>
      <c r="B9" s="43" t="s">
        <v>89</v>
      </c>
      <c r="C9" s="43"/>
      <c r="D9" s="43"/>
      <c r="E9" s="43"/>
      <c r="F9" s="39" t="s">
        <v>25</v>
      </c>
    </row>
    <row r="11" spans="1:6" ht="21.75" customHeight="1" thickBot="1" x14ac:dyDescent="0.4">
      <c r="A11" s="45" t="s">
        <v>88</v>
      </c>
      <c r="B11" s="45"/>
      <c r="C11" s="45"/>
      <c r="D11" s="45"/>
      <c r="E11" s="45"/>
      <c r="F11" s="45"/>
    </row>
    <row r="12" spans="1:6" ht="31.5" customHeight="1" x14ac:dyDescent="0.3">
      <c r="A12" s="13" t="s">
        <v>26</v>
      </c>
      <c r="B12" s="13" t="s">
        <v>87</v>
      </c>
      <c r="C12" s="13" t="s">
        <v>86</v>
      </c>
      <c r="D12" s="13" t="s">
        <v>85</v>
      </c>
      <c r="E12" s="13" t="s">
        <v>84</v>
      </c>
      <c r="F12" s="13" t="s">
        <v>29</v>
      </c>
    </row>
    <row r="13" spans="1:6" ht="48.75" customHeight="1" x14ac:dyDescent="0.3">
      <c r="A13" s="33" t="s">
        <v>27</v>
      </c>
      <c r="B13" s="37">
        <v>2012272</v>
      </c>
      <c r="C13" s="37">
        <v>2468847</v>
      </c>
      <c r="D13" s="37">
        <v>3358461</v>
      </c>
      <c r="E13" s="38">
        <f>D13/B13-1</f>
        <v>0.66898957993750341</v>
      </c>
      <c r="F13" s="30" t="s">
        <v>30</v>
      </c>
    </row>
    <row r="14" spans="1:6" ht="48.75" customHeight="1" x14ac:dyDescent="0.3">
      <c r="A14" s="29" t="s">
        <v>28</v>
      </c>
      <c r="B14" s="28">
        <v>358877</v>
      </c>
      <c r="C14" s="28">
        <v>-137021</v>
      </c>
      <c r="D14" s="28">
        <v>-400435</v>
      </c>
      <c r="E14" s="27">
        <f>D14-B14</f>
        <v>-759312</v>
      </c>
      <c r="F14" s="26" t="s">
        <v>31</v>
      </c>
    </row>
    <row r="15" spans="1:6" ht="48.75" customHeight="1" x14ac:dyDescent="0.3">
      <c r="A15" s="33" t="s">
        <v>1</v>
      </c>
      <c r="B15" s="37">
        <v>733298</v>
      </c>
      <c r="C15" s="37">
        <v>773660</v>
      </c>
      <c r="D15" s="37">
        <v>778244</v>
      </c>
      <c r="E15" s="36">
        <f>D15-B15</f>
        <v>44946</v>
      </c>
      <c r="F15" s="30" t="s">
        <v>32</v>
      </c>
    </row>
    <row r="16" spans="1:6" ht="33.75" customHeight="1" x14ac:dyDescent="0.3">
      <c r="A16" s="29" t="s">
        <v>6</v>
      </c>
      <c r="B16" s="35">
        <f>B15/B13</f>
        <v>0.36441296206477058</v>
      </c>
      <c r="C16" s="35">
        <f>C15/C13</f>
        <v>0.313368953199611</v>
      </c>
      <c r="D16" s="35">
        <f>D15/D13</f>
        <v>0.23172637705186988</v>
      </c>
      <c r="E16" s="34">
        <f>(ROUND(D16,4)-ROUND(B16,4))*100</f>
        <v>-13.270000000000001</v>
      </c>
      <c r="F16" s="26" t="s">
        <v>83</v>
      </c>
    </row>
    <row r="17" spans="1:6" ht="33.75" customHeight="1" x14ac:dyDescent="0.3">
      <c r="A17" s="33" t="s">
        <v>9</v>
      </c>
      <c r="B17" s="32">
        <f>B14/B13</f>
        <v>0.17834418011083988</v>
      </c>
      <c r="C17" s="32">
        <f>C14/C13</f>
        <v>-5.5499996557097302E-2</v>
      </c>
      <c r="D17" s="32">
        <f>D14/D13</f>
        <v>-0.11923169570824256</v>
      </c>
      <c r="E17" s="31">
        <f>(ROUND(D17,4)-ROUND(B17,4))*100</f>
        <v>-29.75</v>
      </c>
      <c r="F17" s="30" t="s">
        <v>82</v>
      </c>
    </row>
    <row r="18" spans="1:6" ht="63.75" customHeight="1" x14ac:dyDescent="0.3">
      <c r="A18" s="29" t="s">
        <v>81</v>
      </c>
      <c r="B18" s="28">
        <v>-56221</v>
      </c>
      <c r="C18" s="28">
        <v>-740434</v>
      </c>
      <c r="D18" s="28">
        <v>-925361</v>
      </c>
      <c r="E18" s="27">
        <f>D18-B18</f>
        <v>-869140</v>
      </c>
      <c r="F18" s="26" t="s">
        <v>80</v>
      </c>
    </row>
    <row r="19" spans="1:6" x14ac:dyDescent="0.3">
      <c r="A19" s="46" t="s">
        <v>79</v>
      </c>
      <c r="B19" s="46"/>
      <c r="C19" s="46"/>
      <c r="D19" s="46"/>
      <c r="E19" s="46"/>
      <c r="F19" s="46"/>
    </row>
    <row r="20" spans="1:6" x14ac:dyDescent="0.3">
      <c r="A20" s="46" t="s">
        <v>78</v>
      </c>
      <c r="B20" s="46"/>
      <c r="C20" s="46"/>
      <c r="D20" s="46"/>
      <c r="E20" s="46"/>
      <c r="F20" s="46"/>
    </row>
    <row r="22" spans="1:6" ht="21.75" customHeight="1" thickBot="1" x14ac:dyDescent="0.4">
      <c r="A22" s="45" t="s">
        <v>77</v>
      </c>
      <c r="B22" s="45"/>
      <c r="C22" s="45"/>
      <c r="D22" s="45"/>
      <c r="E22" s="45"/>
      <c r="F22" s="45"/>
    </row>
    <row r="23" spans="1:6" ht="33.75" customHeight="1" x14ac:dyDescent="0.3">
      <c r="A23" s="47" t="s">
        <v>76</v>
      </c>
      <c r="B23" s="47"/>
      <c r="C23" s="47"/>
      <c r="D23" s="47"/>
      <c r="E23" s="47"/>
      <c r="F23" s="47"/>
    </row>
    <row r="25" spans="1:6" ht="21.75" customHeight="1" thickBot="1" x14ac:dyDescent="0.4">
      <c r="A25" s="45" t="s">
        <v>75</v>
      </c>
      <c r="B25" s="45"/>
      <c r="C25" s="45"/>
      <c r="D25" s="45"/>
      <c r="E25" s="45"/>
      <c r="F25" s="45"/>
    </row>
    <row r="26" spans="1:6" ht="48.75" customHeight="1" x14ac:dyDescent="0.3">
      <c r="A26" s="47" t="s">
        <v>74</v>
      </c>
      <c r="B26" s="47"/>
      <c r="C26" s="47"/>
      <c r="D26" s="47"/>
      <c r="E26" s="47"/>
      <c r="F26" s="47"/>
    </row>
  </sheetData>
  <mergeCells count="15">
    <mergeCell ref="A1:F1"/>
    <mergeCell ref="A2:F2"/>
    <mergeCell ref="A4:F4"/>
    <mergeCell ref="B5:E5"/>
    <mergeCell ref="B6:E6"/>
    <mergeCell ref="A20:F20"/>
    <mergeCell ref="A22:F22"/>
    <mergeCell ref="A23:F23"/>
    <mergeCell ref="A25:F25"/>
    <mergeCell ref="A26:F26"/>
    <mergeCell ref="B7:E7"/>
    <mergeCell ref="B8:E8"/>
    <mergeCell ref="B9:E9"/>
    <mergeCell ref="A11:F11"/>
    <mergeCell ref="A19:F19"/>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showGridLines="0" zoomScaleNormal="100" workbookViewId="0">
      <selection sqref="A1:H1"/>
    </sheetView>
  </sheetViews>
  <sheetFormatPr defaultColWidth="8.6640625" defaultRowHeight="14.4" x14ac:dyDescent="0.3"/>
  <cols>
    <col min="1" max="8" width="14" style="2" customWidth="1"/>
    <col min="9" max="16384" width="8.6640625" style="2"/>
  </cols>
  <sheetData>
    <row r="1" spans="1:8" ht="31.5" customHeight="1" x14ac:dyDescent="0.3">
      <c r="A1" s="54" t="s">
        <v>33</v>
      </c>
      <c r="B1" s="54"/>
      <c r="C1" s="54"/>
      <c r="D1" s="54"/>
      <c r="E1" s="54"/>
      <c r="F1" s="54"/>
      <c r="G1" s="54"/>
      <c r="H1" s="54"/>
    </row>
    <row r="3" spans="1:8" ht="24" customHeight="1" x14ac:dyDescent="0.3">
      <c r="A3" s="55" t="s">
        <v>38</v>
      </c>
      <c r="B3" s="55"/>
      <c r="C3" s="55" t="s">
        <v>37</v>
      </c>
      <c r="D3" s="55"/>
      <c r="E3" s="55" t="s">
        <v>36</v>
      </c>
      <c r="F3" s="55"/>
      <c r="G3" s="55" t="s">
        <v>35</v>
      </c>
      <c r="H3" s="55"/>
    </row>
    <row r="4" spans="1:8" ht="30" customHeight="1" x14ac:dyDescent="0.3">
      <c r="A4" s="51">
        <f>[1]Financial_Data!B4/[1]Financial_Data!B2-1</f>
        <v>0.66898957993750341</v>
      </c>
      <c r="B4" s="51"/>
      <c r="C4" s="52">
        <f>[1]Financial_Data!B4</f>
        <v>3358461</v>
      </c>
      <c r="D4" s="52"/>
      <c r="E4" s="53">
        <f>[1]Financial_Data!C4</f>
        <v>-400435</v>
      </c>
      <c r="F4" s="53"/>
      <c r="G4" s="51">
        <f>[1]Financial_Data!E4</f>
        <v>-0.119231695708243</v>
      </c>
      <c r="H4" s="51"/>
    </row>
    <row r="44" spans="1:1" x14ac:dyDescent="0.3">
      <c r="A44" s="3" t="s">
        <v>34</v>
      </c>
    </row>
  </sheetData>
  <mergeCells count="9">
    <mergeCell ref="A4:B4"/>
    <mergeCell ref="C4:D4"/>
    <mergeCell ref="E4:F4"/>
    <mergeCell ref="G4:H4"/>
    <mergeCell ref="A1:H1"/>
    <mergeCell ref="A3:B3"/>
    <mergeCell ref="C3:D3"/>
    <mergeCell ref="E3:F3"/>
    <mergeCell ref="G3:H3"/>
  </mergeCells>
  <pageMargins left="0.75" right="0.75" top="1" bottom="1"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Financial_Data</vt:lpstr>
      <vt:lpstr>Detailed_income</vt:lpstr>
      <vt:lpstr> Financial_Charts</vt:lpstr>
      <vt:lpstr>Financial_insights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2026-10-15T13:21:18Z</cp:lastPrinted>
  <dcterms:created xsi:type="dcterms:W3CDTF">2026-10-15T13:12:00Z</dcterms:created>
  <dcterms:modified xsi:type="dcterms:W3CDTF">2026-10-26T09:09:40Z</dcterms:modified>
</cp:coreProperties>
</file>